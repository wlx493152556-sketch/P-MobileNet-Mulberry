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380"/>
  </bookViews>
  <sheets>
    <sheet name="DSRCT Too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<sst xmlns="http://schemas.openxmlformats.org/spreadsheetml/2006/main" count="24" uniqueCount="24">
  <si>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r>
      <t>Discrete Sample Reverse Consistency Test (DSRCT) Tool</t>
    </r>
    <r>
      <rPr>
        <sz val="11"/>
        <color theme="1"/>
        <rFont val="Times New Roman"/>
        <charset val="134"/>
      </rPr>
      <t xml:space="preserve">
Fill in the four light‑green areas: 
B4 = total sample size (N); 
B5 = number of decimal places in reported accuracies (e.g., 2 for 81.24%); 
Column B = model names; 
Column C = reported accuracy values (numbers only, without the ‘%’ sign). 
The tool automatically computes reverse integers and verifies arithmetic consistency.
Additional notes:
1.k‑fold: Use only per‑fold accuracies or the overall accuracy computed as total correct / total test samples. For the latter, enter total test size (single‑fold size × k) in B4. Do not use the arithmetic mean of fold‑wise accuracies directly.
2.Size limit: The test becomes ineffective when N &gt; 10^(d+2). For d=1 decimal, N ≤ 1,000; for d=2, N ≤ 10,000.
</t>
    </r>
  </si>
  <si>
    <t>Parameters</t>
  </si>
  <si>
    <t>Sample size (N)</t>
  </si>
  <si>
    <t>Decimal places (d)</t>
  </si>
  <si>
    <t>Batch Check</t>
  </si>
  <si>
    <t>No.</t>
  </si>
  <si>
    <t>Model</t>
  </si>
  <si>
    <t>Reported Value (%)</t>
  </si>
  <si>
    <t>Reverse Value</t>
  </si>
  <si>
    <t>Closest Integer 1</t>
  </si>
  <si>
    <t>Closest Integer 2</t>
  </si>
  <si>
    <t>Corresponding Accuracy 1 (%)</t>
  </si>
  <si>
    <t>Corresponding Accuracy 2 (%)</t>
  </si>
  <si>
    <t>Match? (√/×)</t>
  </si>
  <si>
    <t>VGG16</t>
  </si>
  <si>
    <t>VGG19</t>
  </si>
  <si>
    <t>ResNet50</t>
  </si>
  <si>
    <t>ResNet101</t>
  </si>
  <si>
    <t>MobileNet</t>
  </si>
  <si>
    <t>MoblieNetV2</t>
  </si>
  <si>
    <t>Xception</t>
  </si>
  <si>
    <t>EfficientNet-B0</t>
  </si>
  <si>
    <t>VIT</t>
  </si>
  <si>
    <t>GoogLeNet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</si>
</sst>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 "/>
    <numFmt numFmtId="178" formatCode="0.00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auto="1"/>
      </left>
      <right style="thin">
        <color auto="1"/>
      </right>
      <top style="thin">
        <color theme="3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4" borderId="7">
      <alignment vertical="center"/>
    </xf>
    <xf numFmtId="0" fontId="12" fillId="5" borderId="8">
      <alignment vertical="center"/>
    </xf>
    <xf numFmtId="0" fontId="13" fillId="5" borderId="7">
      <alignment vertical="center"/>
    </xf>
    <xf numFmtId="0" fontId="14" fillId="6" borderId="9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176" fontId="1" fillId="2" borderId="3" xfId="0" applyNumberFormat="1" applyFont="1" applyFill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/>
    </xf>
    <xf numFmtId="178" fontId="1" fillId="0" borderId="3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P28"/>
  <sheetViews>
    <sheetView tabSelected="1" workbookViewId="0">
      <selection activeCell="E3" sqref="E3"/>
    </sheetView>
  </sheetViews>
  <sheetFormatPr defaultColWidth="9" defaultRowHeight="13.8"/>
  <cols>
    <col min="1" max="1" width="19.4444444444444" style="1" customWidth="1"/>
    <col min="2" max="8" width="16.4444444444444" style="1" customWidth="1"/>
    <col min="9" max="9" width="26.7777777777778" style="1" customWidth="1"/>
    <col min="10" max="16384" width="9" style="1"/>
  </cols>
  <sheetData>
    <row r="1" ht="168" customHeight="1" spans="1:16">
      <c r="A1" s="2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</row>
    <row r="3" ht="27" customHeight="1" spans="1:16">
      <c r="A3" s="4" t="s">
        <v>1</v>
      </c>
      <c r="B3" s="4"/>
    </row>
    <row r="4" ht="27" customHeight="1" spans="1:16">
      <c r="A4" s="5" t="s">
        <v>2</v>
      </c>
      <c r="B4" s="6">
        <v>3600</v>
      </c>
    </row>
    <row r="5" ht="26" customHeight="1" spans="1:16">
      <c r="A5" s="7" t="s">
        <v>3</v>
      </c>
      <c r="B5" s="8">
        <v>2</v>
      </c>
    </row>
    <row r="7" ht="22" customHeight="1" spans="1:16">
      <c r="A7" s="4" t="s">
        <v>4</v>
      </c>
      <c r="B7" s="4"/>
      <c r="C7" s="4"/>
      <c r="D7" s="4"/>
      <c r="E7" s="4"/>
      <c r="F7" s="4"/>
      <c r="G7" s="4"/>
      <c r="H7" s="4"/>
      <c r="I7" s="4"/>
    </row>
    <row r="8" ht="27.6" spans="1:16">
      <c r="A8" s="9" t="s">
        <v>5</v>
      </c>
      <c r="B8" s="9" t="s">
        <v>6</v>
      </c>
      <c r="C8" s="9" t="s">
        <v>7</v>
      </c>
      <c r="D8" s="9" t="s">
        <v>8</v>
      </c>
      <c r="E8" s="9" t="s">
        <v>9</v>
      </c>
      <c r="F8" s="9" t="s">
        <v>10</v>
      </c>
      <c r="G8" s="9" t="s">
        <v>11</v>
      </c>
      <c r="H8" s="9" t="s">
        <v>12</v>
      </c>
      <c r="I8" s="9" t="s">
        <v>13</v>
      </c>
    </row>
    <row r="9" spans="1:16">
      <c r="A9" s="10">
        <v>1</v>
      </c>
      <c r="B9" s="8" t="s">
        <v>14</v>
      </c>
      <c r="C9" s="11">
        <v>45.53</v>
      </c>
      <c r="D9" s="10">
        <f>$B$4*C9/100</f>
        <v>1639.08</v>
      </c>
      <c r="E9" s="10">
        <f>ROUNDDOWN($B$4*C9/100,0)</f>
        <v>1639</v>
      </c>
      <c r="F9" s="12">
        <f>E9+1</f>
        <v>1640</v>
      </c>
      <c r="G9" s="13">
        <f>ROUND(E9/$B$4*100,$B$5)</f>
        <v>45.53</v>
      </c>
      <c r="H9" s="13">
        <f>ROUND(F9/$B$4*100,$B$5)</f>
        <v>45.56</v>
      </c>
      <c r="I9" s="14" t="str">
        <f>IF(OR(TEXT(C9,"0."&amp;REPT("0",$B$5))=TEXT(G9,"0."&amp;REPT("0",$B$5)),TEXT(C9,"0."&amp;REPT("0",$B$5))=TEXT(H9,"0."&amp;REPT("0",$B$5))),"√","×")</f>
        <v>√</v>
      </c>
    </row>
    <row r="10" spans="1:16">
      <c r="A10" s="10">
        <v>2</v>
      </c>
      <c r="B10" s="8" t="s">
        <v>15</v>
      </c>
      <c r="C10" s="11">
        <v>81.24</v>
      </c>
      <c r="D10" s="10">
        <f t="shared" ref="D10:D28" si="0">$B$4*C10/100</f>
        <v>2924.64</v>
      </c>
      <c r="E10" s="10">
        <f t="shared" ref="E10:E28" si="1">ROUNDDOWN($B$4*C10/100,0)</f>
        <v>2924</v>
      </c>
      <c r="F10" s="12">
        <f t="shared" ref="F10:F28" si="2">E10+1</f>
        <v>2925</v>
      </c>
      <c r="G10" s="13">
        <f t="shared" ref="G10:G28" si="3">ROUND(E10/$B$4*100,$B$5)</f>
        <v>81.22</v>
      </c>
      <c r="H10" s="13">
        <f t="shared" ref="H10:H28" si="4">ROUND(F10/$B$4*100,$B$5)</f>
        <v>81.25</v>
      </c>
      <c r="I10" s="14" t="str">
        <f t="shared" ref="I10:I28" si="5">IF(OR(TEXT(C10,"0."&amp;REPT("0",$B$5))=TEXT(G10,"0."&amp;REPT("0",$B$5)),TEXT(C10,"0."&amp;REPT("0",$B$5))=TEXT(H10,"0."&amp;REPT("0",$B$5))),"√","×")</f>
        <v>×</v>
      </c>
    </row>
    <row r="11" spans="1:16">
      <c r="A11" s="10">
        <v>3</v>
      </c>
      <c r="B11" s="8" t="s">
        <v>16</v>
      </c>
      <c r="C11" s="11">
        <v>97.59</v>
      </c>
      <c r="D11" s="10">
        <f t="shared" si="0"/>
        <v>3513.24</v>
      </c>
      <c r="E11" s="10">
        <f t="shared" si="1"/>
        <v>3513</v>
      </c>
      <c r="F11" s="12">
        <f t="shared" si="2"/>
        <v>3514</v>
      </c>
      <c r="G11" s="13">
        <f t="shared" si="3"/>
        <v>97.58</v>
      </c>
      <c r="H11" s="13">
        <f t="shared" si="4"/>
        <v>97.61</v>
      </c>
      <c r="I11" s="14" t="str">
        <f t="shared" si="5"/>
        <v>×</v>
      </c>
    </row>
    <row r="12" spans="1:16">
      <c r="A12" s="10">
        <v>4</v>
      </c>
      <c r="B12" s="8" t="s">
        <v>17</v>
      </c>
      <c r="C12" s="11">
        <v>97.56</v>
      </c>
      <c r="D12" s="10">
        <f t="shared" si="0"/>
        <v>3512.16</v>
      </c>
      <c r="E12" s="10">
        <f t="shared" si="1"/>
        <v>3512</v>
      </c>
      <c r="F12" s="12">
        <f t="shared" si="2"/>
        <v>3513</v>
      </c>
      <c r="G12" s="13">
        <f t="shared" si="3"/>
        <v>97.56</v>
      </c>
      <c r="H12" s="13">
        <f t="shared" si="4"/>
        <v>97.58</v>
      </c>
      <c r="I12" s="14" t="str">
        <f t="shared" si="5"/>
        <v>√</v>
      </c>
    </row>
    <row r="13" spans="1:16">
      <c r="A13" s="10">
        <v>5</v>
      </c>
      <c r="B13" s="8" t="s">
        <v>18</v>
      </c>
      <c r="C13" s="11">
        <v>98.74</v>
      </c>
      <c r="D13" s="10">
        <f t="shared" si="0"/>
        <v>3554.64</v>
      </c>
      <c r="E13" s="10">
        <f t="shared" si="1"/>
        <v>3554</v>
      </c>
      <c r="F13" s="12">
        <f t="shared" si="2"/>
        <v>3555</v>
      </c>
      <c r="G13" s="13">
        <f t="shared" si="3"/>
        <v>98.72</v>
      </c>
      <c r="H13" s="13">
        <f t="shared" si="4"/>
        <v>98.75</v>
      </c>
      <c r="I13" s="14" t="str">
        <f t="shared" si="5"/>
        <v>×</v>
      </c>
    </row>
    <row r="14" spans="1:16">
      <c r="A14" s="10">
        <v>6</v>
      </c>
      <c r="B14" s="8" t="s">
        <v>19</v>
      </c>
      <c r="C14" s="11">
        <v>98.62</v>
      </c>
      <c r="D14" s="10">
        <f t="shared" si="0"/>
        <v>3550.32</v>
      </c>
      <c r="E14" s="10">
        <f t="shared" si="1"/>
        <v>3550</v>
      </c>
      <c r="F14" s="12">
        <f t="shared" si="2"/>
        <v>3551</v>
      </c>
      <c r="G14" s="13">
        <f t="shared" si="3"/>
        <v>98.61</v>
      </c>
      <c r="H14" s="13">
        <f t="shared" si="4"/>
        <v>98.64</v>
      </c>
      <c r="I14" s="14" t="str">
        <f t="shared" si="5"/>
        <v>×</v>
      </c>
    </row>
    <row r="15" spans="1:16">
      <c r="A15" s="10">
        <v>7</v>
      </c>
      <c r="B15" s="8" t="s">
        <v>20</v>
      </c>
      <c r="C15" s="11">
        <v>95.42</v>
      </c>
      <c r="D15" s="10">
        <f t="shared" si="0"/>
        <v>3435.12</v>
      </c>
      <c r="E15" s="10">
        <f t="shared" si="1"/>
        <v>3435</v>
      </c>
      <c r="F15" s="12">
        <f t="shared" si="2"/>
        <v>3436</v>
      </c>
      <c r="G15" s="13">
        <f t="shared" si="3"/>
        <v>95.42</v>
      </c>
      <c r="H15" s="13">
        <f t="shared" si="4"/>
        <v>95.44</v>
      </c>
      <c r="I15" s="14" t="str">
        <f t="shared" si="5"/>
        <v>√</v>
      </c>
    </row>
    <row r="16" spans="1:16">
      <c r="A16" s="10">
        <v>8</v>
      </c>
      <c r="B16" s="8" t="s">
        <v>21</v>
      </c>
      <c r="C16" s="11">
        <v>97.88</v>
      </c>
      <c r="D16" s="10">
        <f t="shared" si="0"/>
        <v>3523.68</v>
      </c>
      <c r="E16" s="10">
        <f t="shared" si="1"/>
        <v>3523</v>
      </c>
      <c r="F16" s="12">
        <f t="shared" si="2"/>
        <v>3524</v>
      </c>
      <c r="G16" s="13">
        <f t="shared" si="3"/>
        <v>97.86</v>
      </c>
      <c r="H16" s="13">
        <f t="shared" si="4"/>
        <v>97.89</v>
      </c>
      <c r="I16" s="14" t="str">
        <f t="shared" si="5"/>
        <v>×</v>
      </c>
    </row>
    <row r="17" spans="1:9">
      <c r="A17" s="10">
        <v>9</v>
      </c>
      <c r="B17" s="8" t="s">
        <v>22</v>
      </c>
      <c r="C17" s="11">
        <v>95.92</v>
      </c>
      <c r="D17" s="10">
        <f t="shared" si="0"/>
        <v>3453.12</v>
      </c>
      <c r="E17" s="10">
        <f t="shared" si="1"/>
        <v>3453</v>
      </c>
      <c r="F17" s="12">
        <f t="shared" si="2"/>
        <v>3454</v>
      </c>
      <c r="G17" s="13">
        <f t="shared" si="3"/>
        <v>95.92</v>
      </c>
      <c r="H17" s="13">
        <f t="shared" si="4"/>
        <v>95.94</v>
      </c>
      <c r="I17" s="14" t="str">
        <f t="shared" si="5"/>
        <v>√</v>
      </c>
    </row>
    <row r="18" spans="1:9">
      <c r="A18" s="10">
        <v>10</v>
      </c>
      <c r="B18" s="8" t="s">
        <v>23</v>
      </c>
      <c r="C18" s="11">
        <v>95.96</v>
      </c>
      <c r="D18" s="10">
        <f t="shared" si="0"/>
        <v>3454.56</v>
      </c>
      <c r="E18" s="10">
        <f t="shared" si="1"/>
        <v>3454</v>
      </c>
      <c r="F18" s="12">
        <f t="shared" si="2"/>
        <v>3455</v>
      </c>
      <c r="G18" s="13">
        <f t="shared" si="3"/>
        <v>95.94</v>
      </c>
      <c r="H18" s="13">
        <f t="shared" si="4"/>
        <v>95.97</v>
      </c>
      <c r="I18" s="14" t="str">
        <f t="shared" si="5"/>
        <v>×</v>
      </c>
    </row>
    <row r="19" spans="1:9">
      <c r="A19" s="10">
        <v>11</v>
      </c>
      <c r="B19" s="8"/>
      <c r="C19" s="11"/>
      <c r="D19" s="10">
        <f t="shared" si="0"/>
        <v>0</v>
      </c>
      <c r="E19" s="10">
        <f t="shared" si="1"/>
        <v>0</v>
      </c>
      <c r="F19" s="12">
        <f t="shared" si="2"/>
        <v>1</v>
      </c>
      <c r="G19" s="13">
        <f t="shared" si="3"/>
        <v>0</v>
      </c>
      <c r="H19" s="13">
        <f t="shared" si="4"/>
        <v>0.03</v>
      </c>
      <c r="I19" s="14" t="str">
        <f t="shared" si="5"/>
        <v>√</v>
      </c>
    </row>
    <row r="20" spans="1:9">
      <c r="A20" s="10">
        <v>12</v>
      </c>
      <c r="B20" s="8"/>
      <c r="C20" s="11"/>
      <c r="D20" s="10">
        <f t="shared" si="0"/>
        <v>0</v>
      </c>
      <c r="E20" s="10">
        <f t="shared" si="1"/>
        <v>0</v>
      </c>
      <c r="F20" s="12">
        <f t="shared" si="2"/>
        <v>1</v>
      </c>
      <c r="G20" s="13">
        <f t="shared" si="3"/>
        <v>0</v>
      </c>
      <c r="H20" s="13">
        <f t="shared" si="4"/>
        <v>0.03</v>
      </c>
      <c r="I20" s="14" t="str">
        <f t="shared" si="5"/>
        <v>√</v>
      </c>
    </row>
    <row r="21" spans="1:9">
      <c r="A21" s="10">
        <v>13</v>
      </c>
      <c r="B21" s="8"/>
      <c r="C21" s="11"/>
      <c r="D21" s="10">
        <f t="shared" si="0"/>
        <v>0</v>
      </c>
      <c r="E21" s="10">
        <f t="shared" si="1"/>
        <v>0</v>
      </c>
      <c r="F21" s="12">
        <f t="shared" si="2"/>
        <v>1</v>
      </c>
      <c r="G21" s="13">
        <f t="shared" si="3"/>
        <v>0</v>
      </c>
      <c r="H21" s="13">
        <f t="shared" si="4"/>
        <v>0.03</v>
      </c>
      <c r="I21" s="14" t="str">
        <f t="shared" si="5"/>
        <v>√</v>
      </c>
    </row>
    <row r="22" spans="1:9">
      <c r="A22" s="10">
        <v>14</v>
      </c>
      <c r="B22" s="8"/>
      <c r="C22" s="11"/>
      <c r="D22" s="10">
        <f t="shared" si="0"/>
        <v>0</v>
      </c>
      <c r="E22" s="10">
        <f t="shared" si="1"/>
        <v>0</v>
      </c>
      <c r="F22" s="12">
        <f t="shared" si="2"/>
        <v>1</v>
      </c>
      <c r="G22" s="13">
        <f t="shared" si="3"/>
        <v>0</v>
      </c>
      <c r="H22" s="13">
        <f t="shared" si="4"/>
        <v>0.03</v>
      </c>
      <c r="I22" s="14" t="str">
        <f t="shared" si="5"/>
        <v>√</v>
      </c>
    </row>
    <row r="23" spans="1:9">
      <c r="A23" s="10">
        <v>15</v>
      </c>
      <c r="B23" s="8"/>
      <c r="C23" s="11"/>
      <c r="D23" s="10">
        <f t="shared" si="0"/>
        <v>0</v>
      </c>
      <c r="E23" s="10">
        <f t="shared" si="1"/>
        <v>0</v>
      </c>
      <c r="F23" s="12">
        <f t="shared" si="2"/>
        <v>1</v>
      </c>
      <c r="G23" s="13">
        <f t="shared" si="3"/>
        <v>0</v>
      </c>
      <c r="H23" s="13">
        <f t="shared" si="4"/>
        <v>0.03</v>
      </c>
      <c r="I23" s="14" t="str">
        <f t="shared" si="5"/>
        <v>√</v>
      </c>
    </row>
    <row r="24" spans="1:9">
      <c r="A24" s="10">
        <v>16</v>
      </c>
      <c r="B24" s="8"/>
      <c r="C24" s="11"/>
      <c r="D24" s="10">
        <f t="shared" si="0"/>
        <v>0</v>
      </c>
      <c r="E24" s="10">
        <f t="shared" si="1"/>
        <v>0</v>
      </c>
      <c r="F24" s="12">
        <f t="shared" si="2"/>
        <v>1</v>
      </c>
      <c r="G24" s="13">
        <f t="shared" si="3"/>
        <v>0</v>
      </c>
      <c r="H24" s="13">
        <f t="shared" si="4"/>
        <v>0.03</v>
      </c>
      <c r="I24" s="14" t="str">
        <f t="shared" si="5"/>
        <v>√</v>
      </c>
    </row>
    <row r="25" spans="1:9">
      <c r="A25" s="10">
        <v>17</v>
      </c>
      <c r="B25" s="8"/>
      <c r="C25" s="11"/>
      <c r="D25" s="10">
        <f t="shared" si="0"/>
        <v>0</v>
      </c>
      <c r="E25" s="10">
        <f t="shared" si="1"/>
        <v>0</v>
      </c>
      <c r="F25" s="12">
        <f t="shared" si="2"/>
        <v>1</v>
      </c>
      <c r="G25" s="13">
        <f t="shared" si="3"/>
        <v>0</v>
      </c>
      <c r="H25" s="13">
        <f t="shared" si="4"/>
        <v>0.03</v>
      </c>
      <c r="I25" s="14" t="str">
        <f t="shared" si="5"/>
        <v>√</v>
      </c>
    </row>
    <row r="26" spans="1:9">
      <c r="A26" s="10">
        <v>18</v>
      </c>
      <c r="B26" s="8"/>
      <c r="C26" s="11"/>
      <c r="D26" s="10">
        <f t="shared" si="0"/>
        <v>0</v>
      </c>
      <c r="E26" s="10">
        <f t="shared" si="1"/>
        <v>0</v>
      </c>
      <c r="F26" s="12">
        <f t="shared" si="2"/>
        <v>1</v>
      </c>
      <c r="G26" s="13">
        <f t="shared" si="3"/>
        <v>0</v>
      </c>
      <c r="H26" s="13">
        <f t="shared" si="4"/>
        <v>0.03</v>
      </c>
      <c r="I26" s="14" t="str">
        <f t="shared" si="5"/>
        <v>√</v>
      </c>
    </row>
    <row r="27" spans="1:9">
      <c r="A27" s="10">
        <v>19</v>
      </c>
      <c r="B27" s="8"/>
      <c r="C27" s="11"/>
      <c r="D27" s="10">
        <f t="shared" si="0"/>
        <v>0</v>
      </c>
      <c r="E27" s="10">
        <f t="shared" si="1"/>
        <v>0</v>
      </c>
      <c r="F27" s="12">
        <f t="shared" si="2"/>
        <v>1</v>
      </c>
      <c r="G27" s="13">
        <f t="shared" si="3"/>
        <v>0</v>
      </c>
      <c r="H27" s="13">
        <f t="shared" si="4"/>
        <v>0.03</v>
      </c>
      <c r="I27" s="14" t="str">
        <f t="shared" si="5"/>
        <v>√</v>
      </c>
    </row>
    <row r="28" spans="1:9">
      <c r="A28" s="10">
        <v>20</v>
      </c>
      <c r="B28" s="8"/>
      <c r="C28" s="11"/>
      <c r="D28" s="10">
        <f t="shared" si="0"/>
        <v>0</v>
      </c>
      <c r="E28" s="10">
        <f t="shared" si="1"/>
        <v>0</v>
      </c>
      <c r="F28" s="12">
        <f t="shared" si="2"/>
        <v>1</v>
      </c>
      <c r="G28" s="13">
        <f t="shared" si="3"/>
        <v>0</v>
      </c>
      <c r="H28" s="13">
        <f t="shared" si="4"/>
        <v>0.03</v>
      </c>
      <c r="I28" s="14" t="str">
        <f t="shared" si="5"/>
        <v>√</v>
      </c>
    </row>
  </sheetData>
  <mergeCells count="3">
    <mergeCell ref="A1:I1"/>
    <mergeCell ref="A3:B3"/>
    <mergeCell ref="A7:I7"/>
  </mergeCells>
  <conditionalFormatting sqref="I9:I28">
    <cfRule type="cellIs" dxfId="0" priority="2" operator="equal">
      <formula>"×"</formula>
    </cfRule>
    <cfRule type="cellIs" dxfId="1" priority="1" operator="equal">
      <formula>"对"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DSRCT Tool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wlxms</dc:creator>
  <cp:lastModifiedBy>九哥哥</cp:lastModifiedBy>
  <dcterms:created xsi:type="dcterms:W3CDTF">2023-05-12T11:15:00Z</dcterms:created>
  <dcterms:modified xsi:type="dcterms:W3CDTF">2026-07-09T10:28:34Z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5E706CF659AD4CD4835FB5B7EEA98BD1_12</vt:lpwstr>
  </property>
  <property fmtid="{D5CDD505-2E9C-101B-9397-08002B2CF9AE}" pid="4" name="CalculationRule">
    <vt:i4>0</vt:i4>
  </property>
</Properties>
</file>